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0201e7c06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 2026" sheetId="1" r:id="Reb6ae10e05934ba9"/>
    <x:sheet xmlns:r="http://schemas.openxmlformats.org/officeDocument/2006/relationships" name="Sammanfattning" sheetId="2" r:id="R4e8ca8463a0f4e22"/>
    <x:sheet xmlns:r="http://schemas.openxmlformats.org/officeDocument/2006/relationships" name="Instruktioner" sheetId="3" r:id="Rc1b416277ceb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kr&quot;"/>
    <x:numFmt numFmtId="201" formatCode="0.0%"/>
  </x:numFmts>
  <x:fonts count="7">
    <x:font>
      <x:sz val="11"/>
      <x:name val="Carlito"/>
    </x:font>
    <x:font>
      <x:b/>
      <x:sz val="16"/>
      <x:color rgb="FFFFFF"/>
      <x:name val="Carlito"/>
    </x:font>
    <x:font>
      <x:i/>
      <x:sz val="11"/>
      <x:color rgb="0F172A"/>
      <x:name val="Carlito"/>
    </x:font>
    <x:font>
      <x:b/>
      <x:sz val="11"/>
      <x:color rgb="FFFFFF"/>
      <x:name val="Carlito"/>
    </x:font>
    <x:font>
      <x:b/>
      <x:sz val="11"/>
      <x:color rgb="1E3A8A"/>
      <x:name val="Carlito"/>
    </x:font>
    <x:font>
      <x:b/>
      <x:sz val="11"/>
      <x:color rgb="166534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D4ED8"/>
      </x:patternFill>
    </x:fill>
    <x:fill>
      <x:patternFill patternType="solid">
        <x:fgColor rgb="FEF3C7"/>
      </x:patternFill>
    </x:fill>
    <x:fill>
      <x:patternFill patternType="solid">
        <x:fgColor rgb="F8FAFC"/>
      </x:patternFill>
    </x:fill>
    <x:fill>
      <x:patternFill patternType="solid">
        <x:fgColor rgb="DBEAFE"/>
      </x:patternFill>
    </x:fill>
    <x:fill>
      <x:patternFill patternType="solid">
        <x:fgColor rgb="DCFCE7"/>
      </x:patternFill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4" fillId="7" borderId="0" xfId="0" applyNumberFormat="1" applyFont="1" applyFill="1" applyBorder="1" applyAlignment="1">
      <x:alignment wrapText="1"/>
    </x:xf>
    <x:xf numFmtId="200" fontId="5" fillId="8" borderId="0" xfId="0" applyNumberFormat="1" applyFont="1" applyFill="1" applyBorder="1" applyAlignment="1">
      <x:alignment wrapText="1"/>
    </x:xf>
    <x:xf numFmtId="201" fontId="5" fillId="8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6" fillId="6" borderId="0" xfId="0" applyNumberFormat="1" applyFont="1" applyFill="1" applyBorder="1"/>
  </x:cellXfs>
  <x:cellStyles count="1">
    <x:cellStyle name="Normal" xfId="0"/>
  </x:cellStyles>
  <x:dxfs count="4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fe243258904404" /><Relationship Type="http://schemas.openxmlformats.org/officeDocument/2006/relationships/theme" Target="/xl/theme/theme1.xml" Id="Ra30056368fc34f04" /><Relationship Type="http://schemas.openxmlformats.org/officeDocument/2006/relationships/sharedStrings" Target="/xl/sharedStrings.xml" Id="Re4a97dc32b5044a3" /><Relationship Type="http://schemas.openxmlformats.org/officeDocument/2006/relationships/worksheet" Target="/xl/worksheets/sheet1.xml" Id="Reb6ae10e05934ba9" /><Relationship Type="http://schemas.openxmlformats.org/officeDocument/2006/relationships/worksheet" Target="/xl/worksheets/sheet2.xml" Id="R4e8ca8463a0f4e22" /><Relationship Type="http://schemas.openxmlformats.org/officeDocument/2006/relationships/worksheet" Target="/xl/worksheets/sheet3.xml" Id="Rc1b416277ceb46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d4ecd2c99e485f" /></Relationships>
</file>

<file path=xl/drawings/charts/chart1.xml><?xml version="1.0" encoding="utf-8"?>
<c:chartSpace xmlns:c="http://schemas.openxmlformats.org/drawingml/2006/chart">
  <c:lang val="en-US"/>
  <c:roundedCorners val="0"/>
  <c:chart>
    <c:view3D/>
    <c:plotArea>
      <c:layout/>
      <c:barChart>
        <c:barDir val="col"/>
        <c:grouping val="clustered"/>
        <c:varyColors val="0"/>
        <c:ser>
          <c:idx val="0"/>
          <c:order val="0"/>
          <c:tx>
            <c:v>Inkomster</c:v>
          </c:tx>
          <c:cat>
            <c:strRef>
              <c:f>'Sammanfattning'!$A$13:$A$24</c:f>
              <c:strCache>
                <c:ptCount val="0"/>
              </c:strCache>
            </c:strRef>
          </c:cat>
          <c:val>
            <c:numRef>
              <c:f>'Sammanfattning'!$B$13:$B$24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Utgifter</c:v>
          </c:tx>
          <c:cat>
            <c:strRef>
              <c:f>'Sammanfattning'!$A$13:$A$24</c:f>
              <c:strCache>
                <c:ptCount val="0"/>
              </c:strCache>
            </c:strRef>
          </c:cat>
          <c:val>
            <c:numRef>
              <c:f>'Sammanfattning'!$C$13:$C$24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Kvar efter budget</c:v>
          </c:tx>
          <c:cat>
            <c:strRef>
              <c:f>'Sammanfattning'!$A$13:$A$24</c:f>
              <c:strCache>
                <c:ptCount val="0"/>
              </c:strCache>
            </c:strRef>
          </c:cat>
          <c:val>
            <c:numRef>
              <c:f>'Sammanfattning'!$E$13:$E$24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d4ecd2c99e48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dgetTable" displayName="BudgetTable" ref="A4:P35" headerRowCount="1">
  <x:tableColumns count="16">
    <x:tableColumn id="1" name="Sektion"/>
    <x:tableColumn id="2" name="Kategori"/>
    <x:tableColumn id="3" name="Jan"/>
    <x:tableColumn id="4" name="Feb"/>
    <x:tableColumn id="5" name="Mar"/>
    <x:tableColumn id="6" name="Apr"/>
    <x:tableColumn id="7" name="Maj"/>
    <x:tableColumn id="8" name="Jun"/>
    <x:tableColumn id="9" name="Jul"/>
    <x:tableColumn id="10" name="Aug"/>
    <x:tableColumn id="11" name="Sep"/>
    <x:tableColumn id="12" name="Okt"/>
    <x:tableColumn id="13" name="Nov"/>
    <x:tableColumn id="14" name="Dec"/>
    <x:tableColumn id="15" name="Årssumma"/>
    <x:tableColumn id="16" name="Snitt/mån"/>
  </x:tableColumns>
  <x:tableStyleInfo name="TableStyleMedium2" showRowStripes="1"/>
</x:table>
</file>

<file path=xl/tables/table2.xml><?xml version="1.0" encoding="utf-8"?>
<x:table xmlns:x="http://schemas.openxmlformats.org/spreadsheetml/2006/main" id="1" name="SummaryTable" displayName="SummaryTable" ref="A12:E24" headerRowCount="1">
  <x:tableColumns count="5">
    <x:tableColumn id="1" name="Månad"/>
    <x:tableColumn id="2" name="Inkomster"/>
    <x:tableColumn id="3" name="Utgifter"/>
    <x:tableColumn id="4" name="Sparande"/>
    <x:tableColumn id="5" name="Kvar efter budge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aa993205b442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aa6baa09a624963" /><Relationship Type="http://schemas.openxmlformats.org/officeDocument/2006/relationships/table" Target="/xl/tables/table2.xml" Id="R4e7b3ffa96ea482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4" hidden="0" customWidth="1"/>
    <x:col min="16" max="16" width="14" hidden="0" customWidth="1"/>
    <x:col min="18" max="18" width="8" hidden="0" customWidth="1"/>
    <x:col min="19" max="19" width="30" hidden="0" customWidth="1"/>
    <x:col min="20" max="20" width="30" hidden="0" customWidth="1"/>
    <x:col min="21" max="21" width="30" hidden="0" customWidth="1"/>
  </x:cols>
  <x:sheetData>
    <x:row r="1" ht="24" customHeight="1">
      <x:c r="A1" s="4" t="str">
        <x:v>Månadsbudget för ett år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0" customHeight="1">
      <x:c r="A2" s="7" t="str">
        <x:v>Exempelbudget för 2026 – gula belopp kan ändras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R2" s="20" t="str">
        <x:v>Snabbguide</x:v>
      </x:c>
      <x:c r="S2" s="20" t="str"/>
      <x:c r="T2" s="20" t="str"/>
      <x:c r="U2" s="20" t="str"/>
    </x:row>
    <x:row r="3">
      <x:c r="R3" s="13" t="str">
        <x:v>1</x:v>
      </x:c>
      <x:c r="S3" s="13" t="str">
        <x:v>Ändra de gula månadscellerna</x:v>
      </x:c>
      <x:c r="T3" s="13" t="str"/>
      <x:c r="U3" s="13" t="str"/>
    </x:row>
    <x:row r="4" ht="17.08984375" hidden="0" customHeight="1">
      <x:c r="A4" s="21" t="str">
        <x:v>Sektion</x:v>
      </x:c>
      <x:c r="B4" s="21" t="str">
        <x:v>Kategori</x:v>
      </x:c>
      <x:c r="C4" s="21" t="str">
        <x:v>Jan</x:v>
      </x:c>
      <x:c r="D4" s="21" t="str">
        <x:v>Feb</x:v>
      </x:c>
      <x:c r="E4" s="21" t="str">
        <x:v>Mar</x:v>
      </x:c>
      <x:c r="F4" s="21" t="str">
        <x:v>Apr</x:v>
      </x:c>
      <x:c r="G4" s="21" t="str">
        <x:v>Maj</x:v>
      </x:c>
      <x:c r="H4" s="21" t="str">
        <x:v>Jun</x:v>
      </x:c>
      <x:c r="I4" s="21" t="str">
        <x:v>Jul</x:v>
      </x:c>
      <x:c r="J4" s="21" t="str">
        <x:v>Aug</x:v>
      </x:c>
      <x:c r="K4" s="21" t="str">
        <x:v>Sep</x:v>
      </x:c>
      <x:c r="L4" s="21" t="str">
        <x:v>Okt</x:v>
      </x:c>
      <x:c r="M4" s="21" t="str">
        <x:v>Nov</x:v>
      </x:c>
      <x:c r="N4" s="21" t="str">
        <x:v>Dec</x:v>
      </x:c>
      <x:c r="O4" s="21" t="str">
        <x:v>Årssumma</x:v>
      </x:c>
      <x:c r="P4" s="21" t="str">
        <x:v>Snitt/mån</x:v>
      </x:c>
      <x:c r="R4" s="13" t="str">
        <x:v>2</x:v>
      </x:c>
      <x:c r="S4" s="13" t="str">
        <x:v>Årssumma och snitt räknas ut automatiskt</x:v>
      </x:c>
      <x:c r="T4" s="13" t="str"/>
      <x:c r="U4" s="13" t="str"/>
    </x:row>
    <x:row r="5" ht="17.08984375" hidden="0" customHeight="1">
      <x:c r="A5" s="22" t="str">
        <x:v>Inkomster</x:v>
      </x:c>
      <x:c r="B5" s="22" t="str">
        <x:v>Lön netto</x:v>
      </x:c>
      <x:c r="C5" s="27" t="n">
        <x:v>32000</x:v>
      </x:c>
      <x:c r="D5" s="27" t="n">
        <x:v>32000</x:v>
      </x:c>
      <x:c r="E5" s="27" t="n">
        <x:v>32000</x:v>
      </x:c>
      <x:c r="F5" s="27" t="n">
        <x:v>32000</x:v>
      </x:c>
      <x:c r="G5" s="27" t="n">
        <x:v>32000</x:v>
      </x:c>
      <x:c r="H5" s="27" t="n">
        <x:v>32000</x:v>
      </x:c>
      <x:c r="I5" s="27" t="n">
        <x:v>32000</x:v>
      </x:c>
      <x:c r="J5" s="27" t="n">
        <x:v>32000</x:v>
      </x:c>
      <x:c r="K5" s="27" t="n">
        <x:v>32000</x:v>
      </x:c>
      <x:c r="L5" s="27" t="n">
        <x:v>32000</x:v>
      </x:c>
      <x:c r="M5" s="27" t="n">
        <x:v>32000</x:v>
      </x:c>
      <x:c r="N5" s="27" t="n">
        <x:v>32000</x:v>
      </x:c>
      <x:c r="O5" s="28" t="n">
        <x:f>SUM(C5:N5)</x:f>
        <x:v>384000</x:v>
      </x:c>
      <x:c r="P5" s="28" t="n">
        <x:f>AVERAGE(C5:N5)</x:f>
        <x:v>32000</x:v>
      </x:c>
      <x:c r="R5" s="13" t="str">
        <x:v>3</x:v>
      </x:c>
      <x:c r="S5" s="13" t="str">
        <x:v>Kvar efter budget visar överskott/underskott</x:v>
      </x:c>
      <x:c r="T5" s="13" t="str"/>
      <x:c r="U5" s="13" t="str"/>
    </x:row>
    <x:row r="6" ht="17.08984375" hidden="0" customHeight="1">
      <x:c r="A6" s="22" t="str">
        <x:v>Inkomster</x:v>
      </x:c>
      <x:c r="B6" s="22" t="str">
        <x:v>Extra inkomst</x:v>
      </x:c>
      <x:c r="C6" s="27" t="n">
        <x:v>2000</x:v>
      </x:c>
      <x:c r="D6" s="27" t="n">
        <x:v>2000</x:v>
      </x:c>
      <x:c r="E6" s="27" t="n">
        <x:v>2000</x:v>
      </x:c>
      <x:c r="F6" s="27" t="n">
        <x:v>2000</x:v>
      </x:c>
      <x:c r="G6" s="27" t="n">
        <x:v>2000</x:v>
      </x:c>
      <x:c r="H6" s="27" t="n">
        <x:v>2000</x:v>
      </x:c>
      <x:c r="I6" s="27" t="n">
        <x:v>2000</x:v>
      </x:c>
      <x:c r="J6" s="27" t="n">
        <x:v>2000</x:v>
      </x:c>
      <x:c r="K6" s="27" t="n">
        <x:v>2000</x:v>
      </x:c>
      <x:c r="L6" s="27" t="n">
        <x:v>2000</x:v>
      </x:c>
      <x:c r="M6" s="27" t="n">
        <x:v>2000</x:v>
      </x:c>
      <x:c r="N6" s="27" t="n">
        <x:v>2000</x:v>
      </x:c>
      <x:c r="O6" s="28" t="n">
        <x:f>SUM(C6:N6)</x:f>
        <x:v>24000</x:v>
      </x:c>
      <x:c r="P6" s="28" t="n">
        <x:f>AVERAGE(C6:N6)</x:f>
        <x:v>2000</x:v>
      </x:c>
      <x:c r="R6" s="13" t="str">
        <x:v>4</x:v>
      </x:c>
      <x:c r="S6" s="13" t="str">
        <x:v>Sparkvot visar sparande i % av inkomster</x:v>
      </x:c>
      <x:c r="T6" s="13" t="str"/>
      <x:c r="U6" s="13" t="str"/>
    </x:row>
    <x:row r="7" ht="17.08984375" hidden="0" customHeight="1">
      <x:c r="A7" s="22" t="str">
        <x:v>Inkomster</x:v>
      </x:c>
      <x:c r="B7" s="22" t="str">
        <x:v>Övriga inkomster</x:v>
      </x:c>
      <x:c r="C7" s="27" t="n">
        <x:v>0</x:v>
      </x:c>
      <x:c r="D7" s="27" t="n">
        <x:v>0</x:v>
      </x:c>
      <x:c r="E7" s="27" t="n">
        <x:v>0</x:v>
      </x:c>
      <x:c r="F7" s="27" t="n">
        <x:v>0</x:v>
      </x:c>
      <x:c r="G7" s="27" t="n">
        <x:v>0</x:v>
      </x:c>
      <x:c r="H7" s="27" t="n">
        <x:v>0</x:v>
      </x:c>
      <x:c r="I7" s="27" t="n">
        <x:v>0</x:v>
      </x:c>
      <x:c r="J7" s="27" t="n">
        <x:v>0</x:v>
      </x:c>
      <x:c r="K7" s="27" t="n">
        <x:v>0</x:v>
      </x:c>
      <x:c r="L7" s="27" t="n">
        <x:v>0</x:v>
      </x:c>
      <x:c r="M7" s="27" t="n">
        <x:v>0</x:v>
      </x:c>
      <x:c r="N7" s="27" t="n">
        <x:v>0</x:v>
      </x:c>
      <x:c r="O7" s="28" t="n">
        <x:f>SUM(C7:N7)</x:f>
        <x:v>0</x:v>
      </x:c>
      <x:c r="P7" s="28" t="n">
        <x:f>AVERAGE(C7:N7)</x:f>
        <x:v>0</x:v>
      </x:c>
      <x:c r="R7" s="13" t="str">
        <x:v>5</x:v>
      </x:c>
      <x:c r="S7" s="13" t="str">
        <x:v>Se fliken Sammanfattning för överblick</x:v>
      </x:c>
      <x:c r="T7" s="13" t="str"/>
      <x:c r="U7" s="13" t="str"/>
    </x:row>
    <x:row r="8" ht="17.08984375" hidden="0" customHeight="1">
      <x:c r="A8" s="25" t="str">
        <x:v>Inkomster</x:v>
      </x:c>
      <x:c r="B8" s="25" t="str">
        <x:v>Totala inkomster</x:v>
      </x:c>
      <x:c r="C8" s="29" t="n">
        <x:f>SUM(C5:C7)</x:f>
        <x:v>34000</x:v>
      </x:c>
      <x:c r="D8" s="29" t="n">
        <x:f>SUM(D5:D7)</x:f>
        <x:v>34000</x:v>
      </x:c>
      <x:c r="E8" s="29" t="n">
        <x:f>SUM(E5:E7)</x:f>
        <x:v>34000</x:v>
      </x:c>
      <x:c r="F8" s="29" t="n">
        <x:f>SUM(F5:F7)</x:f>
        <x:v>34000</x:v>
      </x:c>
      <x:c r="G8" s="29" t="n">
        <x:f>SUM(G5:G7)</x:f>
        <x:v>34000</x:v>
      </x:c>
      <x:c r="H8" s="29" t="n">
        <x:f>SUM(H5:H7)</x:f>
        <x:v>34000</x:v>
      </x:c>
      <x:c r="I8" s="29" t="n">
        <x:f>SUM(I5:I7)</x:f>
        <x:v>34000</x:v>
      </x:c>
      <x:c r="J8" s="29" t="n">
        <x:f>SUM(J5:J7)</x:f>
        <x:v>34000</x:v>
      </x:c>
      <x:c r="K8" s="29" t="n">
        <x:f>SUM(K5:K7)</x:f>
        <x:v>34000</x:v>
      </x:c>
      <x:c r="L8" s="29" t="n">
        <x:f>SUM(L5:L7)</x:f>
        <x:v>34000</x:v>
      </x:c>
      <x:c r="M8" s="29" t="n">
        <x:f>SUM(M5:M7)</x:f>
        <x:v>34000</x:v>
      </x:c>
      <x:c r="N8" s="29" t="n">
        <x:f>SUM(N5:N7)</x:f>
        <x:v>34000</x:v>
      </x:c>
      <x:c r="O8" s="29" t="n">
        <x:f>SUM(C8:N8)</x:f>
        <x:v>408000</x:v>
      </x:c>
      <x:c r="P8" s="29" t="n">
        <x:f>AVERAGE(C8:N8)</x:f>
        <x:v>34000</x:v>
      </x:c>
    </x:row>
    <x:row r="9" ht="17.08984375" hidden="0" customHeight="1">
      <x:c r="A9" s="24" t="str"/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/>
      <x:c r="K9" s="24" t="str"/>
      <x:c r="L9" s="24" t="str"/>
      <x:c r="M9" s="24" t="str"/>
      <x:c r="N9" s="24" t="str"/>
      <x:c r="O9" s="24" t="str"/>
      <x:c r="P9" s="24" t="str"/>
    </x:row>
    <x:row r="10" ht="17.08984375" hidden="0" customHeight="1">
      <x:c r="A10" s="22" t="str">
        <x:v>Fasta kostnader</x:v>
      </x:c>
      <x:c r="B10" s="22" t="str">
        <x:v>Boende</x:v>
      </x:c>
      <x:c r="C10" s="27" t="n">
        <x:v>12000</x:v>
      </x:c>
      <x:c r="D10" s="27" t="n">
        <x:v>12000</x:v>
      </x:c>
      <x:c r="E10" s="27" t="n">
        <x:v>12000</x:v>
      </x:c>
      <x:c r="F10" s="27" t="n">
        <x:v>12000</x:v>
      </x:c>
      <x:c r="G10" s="27" t="n">
        <x:v>12000</x:v>
      </x:c>
      <x:c r="H10" s="27" t="n">
        <x:v>12000</x:v>
      </x:c>
      <x:c r="I10" s="27" t="n">
        <x:v>12000</x:v>
      </x:c>
      <x:c r="J10" s="27" t="n">
        <x:v>12000</x:v>
      </x:c>
      <x:c r="K10" s="27" t="n">
        <x:v>12000</x:v>
      </x:c>
      <x:c r="L10" s="27" t="n">
        <x:v>12000</x:v>
      </x:c>
      <x:c r="M10" s="27" t="n">
        <x:v>12000</x:v>
      </x:c>
      <x:c r="N10" s="27" t="n">
        <x:v>12000</x:v>
      </x:c>
      <x:c r="O10" s="28" t="n">
        <x:f>SUM(C10:N10)</x:f>
        <x:v>144000</x:v>
      </x:c>
      <x:c r="P10" s="28" t="n">
        <x:f>AVERAGE(C10:N10)</x:f>
        <x:v>12000</x:v>
      </x:c>
    </x:row>
    <x:row r="11" ht="17.08984375" hidden="0" customHeight="1">
      <x:c r="A11" s="22" t="str">
        <x:v>Fasta kostnader</x:v>
      </x:c>
      <x:c r="B11" s="22" t="str">
        <x:v>El &amp; värme</x:v>
      </x:c>
      <x:c r="C11" s="27" t="n">
        <x:v>1200</x:v>
      </x:c>
      <x:c r="D11" s="27" t="n">
        <x:v>1200</x:v>
      </x:c>
      <x:c r="E11" s="27" t="n">
        <x:v>1200</x:v>
      </x:c>
      <x:c r="F11" s="27" t="n">
        <x:v>1200</x:v>
      </x:c>
      <x:c r="G11" s="27" t="n">
        <x:v>1200</x:v>
      </x:c>
      <x:c r="H11" s="27" t="n">
        <x:v>1200</x:v>
      </x:c>
      <x:c r="I11" s="27" t="n">
        <x:v>1200</x:v>
      </x:c>
      <x:c r="J11" s="27" t="n">
        <x:v>1200</x:v>
      </x:c>
      <x:c r="K11" s="27" t="n">
        <x:v>1200</x:v>
      </x:c>
      <x:c r="L11" s="27" t="n">
        <x:v>1200</x:v>
      </x:c>
      <x:c r="M11" s="27" t="n">
        <x:v>1200</x:v>
      </x:c>
      <x:c r="N11" s="27" t="n">
        <x:v>1200</x:v>
      </x:c>
      <x:c r="O11" s="28" t="n">
        <x:f>SUM(C11:N11)</x:f>
        <x:v>14400</x:v>
      </x:c>
      <x:c r="P11" s="28" t="n">
        <x:f>AVERAGE(C11:N11)</x:f>
        <x:v>1200</x:v>
      </x:c>
    </x:row>
    <x:row r="12" ht="17.08984375" hidden="0" customHeight="1">
      <x:c r="A12" s="22" t="str">
        <x:v>Fasta kostnader</x:v>
      </x:c>
      <x:c r="B12" s="22" t="str">
        <x:v>Hemförsäkring</x:v>
      </x:c>
      <x:c r="C12" s="27" t="n">
        <x:v>250</x:v>
      </x:c>
      <x:c r="D12" s="27" t="n">
        <x:v>250</x:v>
      </x:c>
      <x:c r="E12" s="27" t="n">
        <x:v>250</x:v>
      </x:c>
      <x:c r="F12" s="27" t="n">
        <x:v>250</x:v>
      </x:c>
      <x:c r="G12" s="27" t="n">
        <x:v>250</x:v>
      </x:c>
      <x:c r="H12" s="27" t="n">
        <x:v>250</x:v>
      </x:c>
      <x:c r="I12" s="27" t="n">
        <x:v>250</x:v>
      </x:c>
      <x:c r="J12" s="27" t="n">
        <x:v>250</x:v>
      </x:c>
      <x:c r="K12" s="27" t="n">
        <x:v>250</x:v>
      </x:c>
      <x:c r="L12" s="27" t="n">
        <x:v>250</x:v>
      </x:c>
      <x:c r="M12" s="27" t="n">
        <x:v>250</x:v>
      </x:c>
      <x:c r="N12" s="27" t="n">
        <x:v>250</x:v>
      </x:c>
      <x:c r="O12" s="28" t="n">
        <x:f>SUM(C12:N12)</x:f>
        <x:v>3000</x:v>
      </x:c>
      <x:c r="P12" s="28" t="n">
        <x:f>AVERAGE(C12:N12)</x:f>
        <x:v>250</x:v>
      </x:c>
    </x:row>
    <x:row r="13" ht="17.08984375" hidden="0" customHeight="1">
      <x:c r="A13" s="22" t="str">
        <x:v>Fasta kostnader</x:v>
      </x:c>
      <x:c r="B13" s="22" t="str">
        <x:v>Internet &amp; mobil</x:v>
      </x:c>
      <x:c r="C13" s="27" t="n">
        <x:v>700</x:v>
      </x:c>
      <x:c r="D13" s="27" t="n">
        <x:v>700</x:v>
      </x:c>
      <x:c r="E13" s="27" t="n">
        <x:v>700</x:v>
      </x:c>
      <x:c r="F13" s="27" t="n">
        <x:v>700</x:v>
      </x:c>
      <x:c r="G13" s="27" t="n">
        <x:v>700</x:v>
      </x:c>
      <x:c r="H13" s="27" t="n">
        <x:v>700</x:v>
      </x:c>
      <x:c r="I13" s="27" t="n">
        <x:v>700</x:v>
      </x:c>
      <x:c r="J13" s="27" t="n">
        <x:v>700</x:v>
      </x:c>
      <x:c r="K13" s="27" t="n">
        <x:v>700</x:v>
      </x:c>
      <x:c r="L13" s="27" t="n">
        <x:v>700</x:v>
      </x:c>
      <x:c r="M13" s="27" t="n">
        <x:v>700</x:v>
      </x:c>
      <x:c r="N13" s="27" t="n">
        <x:v>700</x:v>
      </x:c>
      <x:c r="O13" s="28" t="n">
        <x:f>SUM(C13:N13)</x:f>
        <x:v>8400</x:v>
      </x:c>
      <x:c r="P13" s="28" t="n">
        <x:f>AVERAGE(C13:N13)</x:f>
        <x:v>700</x:v>
      </x:c>
    </x:row>
    <x:row r="14" ht="17.08984375" hidden="0" customHeight="1">
      <x:c r="A14" s="22" t="str">
        <x:v>Fasta kostnader</x:v>
      </x:c>
      <x:c r="B14" s="22" t="str">
        <x:v>Transport</x:v>
      </x:c>
      <x:c r="C14" s="27" t="n">
        <x:v>1800</x:v>
      </x:c>
      <x:c r="D14" s="27" t="n">
        <x:v>1800</x:v>
      </x:c>
      <x:c r="E14" s="27" t="n">
        <x:v>1800</x:v>
      </x:c>
      <x:c r="F14" s="27" t="n">
        <x:v>1800</x:v>
      </x:c>
      <x:c r="G14" s="27" t="n">
        <x:v>1800</x:v>
      </x:c>
      <x:c r="H14" s="27" t="n">
        <x:v>1800</x:v>
      </x:c>
      <x:c r="I14" s="27" t="n">
        <x:v>1800</x:v>
      </x:c>
      <x:c r="J14" s="27" t="n">
        <x:v>1800</x:v>
      </x:c>
      <x:c r="K14" s="27" t="n">
        <x:v>1800</x:v>
      </x:c>
      <x:c r="L14" s="27" t="n">
        <x:v>1800</x:v>
      </x:c>
      <x:c r="M14" s="27" t="n">
        <x:v>1800</x:v>
      </x:c>
      <x:c r="N14" s="27" t="n">
        <x:v>1800</x:v>
      </x:c>
      <x:c r="O14" s="28" t="n">
        <x:f>SUM(C14:N14)</x:f>
        <x:v>21600</x:v>
      </x:c>
      <x:c r="P14" s="28" t="n">
        <x:f>AVERAGE(C14:N14)</x:f>
        <x:v>1800</x:v>
      </x:c>
    </x:row>
    <x:row r="15" ht="17.08984375" hidden="0" customHeight="1">
      <x:c r="A15" s="22" t="str">
        <x:v>Fasta kostnader</x:v>
      </x:c>
      <x:c r="B15" s="22" t="str">
        <x:v>Lån / CSN</x:v>
      </x:c>
      <x:c r="C15" s="27" t="n">
        <x:v>1500</x:v>
      </x:c>
      <x:c r="D15" s="27" t="n">
        <x:v>1500</x:v>
      </x:c>
      <x:c r="E15" s="27" t="n">
        <x:v>1500</x:v>
      </x:c>
      <x:c r="F15" s="27" t="n">
        <x:v>1500</x:v>
      </x:c>
      <x:c r="G15" s="27" t="n">
        <x:v>1500</x:v>
      </x:c>
      <x:c r="H15" s="27" t="n">
        <x:v>1500</x:v>
      </x:c>
      <x:c r="I15" s="27" t="n">
        <x:v>1500</x:v>
      </x:c>
      <x:c r="J15" s="27" t="n">
        <x:v>1500</x:v>
      </x:c>
      <x:c r="K15" s="27" t="n">
        <x:v>1500</x:v>
      </x:c>
      <x:c r="L15" s="27" t="n">
        <x:v>1500</x:v>
      </x:c>
      <x:c r="M15" s="27" t="n">
        <x:v>1500</x:v>
      </x:c>
      <x:c r="N15" s="27" t="n">
        <x:v>1500</x:v>
      </x:c>
      <x:c r="O15" s="28" t="n">
        <x:f>SUM(C15:N15)</x:f>
        <x:v>18000</x:v>
      </x:c>
      <x:c r="P15" s="28" t="n">
        <x:f>AVERAGE(C15:N15)</x:f>
        <x:v>1500</x:v>
      </x:c>
    </x:row>
    <x:row r="16" ht="17.08984375" hidden="0" customHeight="1">
      <x:c r="A16" s="22" t="str">
        <x:v>Fasta kostnader</x:v>
      </x:c>
      <x:c r="B16" s="22" t="str">
        <x:v>Prenumerationer</x:v>
      </x:c>
      <x:c r="C16" s="27" t="n">
        <x:v>300</x:v>
      </x:c>
      <x:c r="D16" s="27" t="n">
        <x:v>300</x:v>
      </x:c>
      <x:c r="E16" s="27" t="n">
        <x:v>300</x:v>
      </x:c>
      <x:c r="F16" s="27" t="n">
        <x:v>300</x:v>
      </x:c>
      <x:c r="G16" s="27" t="n">
        <x:v>300</x:v>
      </x:c>
      <x:c r="H16" s="27" t="n">
        <x:v>300</x:v>
      </x:c>
      <x:c r="I16" s="27" t="n">
        <x:v>300</x:v>
      </x:c>
      <x:c r="J16" s="27" t="n">
        <x:v>300</x:v>
      </x:c>
      <x:c r="K16" s="27" t="n">
        <x:v>300</x:v>
      </x:c>
      <x:c r="L16" s="27" t="n">
        <x:v>300</x:v>
      </x:c>
      <x:c r="M16" s="27" t="n">
        <x:v>300</x:v>
      </x:c>
      <x:c r="N16" s="27" t="n">
        <x:v>300</x:v>
      </x:c>
      <x:c r="O16" s="28" t="n">
        <x:f>SUM(C16:N16)</x:f>
        <x:v>3600</x:v>
      </x:c>
      <x:c r="P16" s="28" t="n">
        <x:f>AVERAGE(C16:N16)</x:f>
        <x:v>300</x:v>
      </x:c>
    </x:row>
    <x:row r="17" ht="17.08984375" hidden="0" customHeight="1">
      <x:c r="A17" s="25" t="str">
        <x:v>Fasta kostnader</x:v>
      </x:c>
      <x:c r="B17" s="25" t="str">
        <x:v>Totala fasta kostnader</x:v>
      </x:c>
      <x:c r="C17" s="29" t="n">
        <x:f>SUM(C10:C16)</x:f>
        <x:v>17750</x:v>
      </x:c>
      <x:c r="D17" s="29" t="n">
        <x:f>SUM(D10:D16)</x:f>
        <x:v>17750</x:v>
      </x:c>
      <x:c r="E17" s="29" t="n">
        <x:f>SUM(E10:E16)</x:f>
        <x:v>17750</x:v>
      </x:c>
      <x:c r="F17" s="29" t="n">
        <x:f>SUM(F10:F16)</x:f>
        <x:v>17750</x:v>
      </x:c>
      <x:c r="G17" s="29" t="n">
        <x:f>SUM(G10:G16)</x:f>
        <x:v>17750</x:v>
      </x:c>
      <x:c r="H17" s="29" t="n">
        <x:f>SUM(H10:H16)</x:f>
        <x:v>17750</x:v>
      </x:c>
      <x:c r="I17" s="29" t="n">
        <x:f>SUM(I10:I16)</x:f>
        <x:v>17750</x:v>
      </x:c>
      <x:c r="J17" s="29" t="n">
        <x:f>SUM(J10:J16)</x:f>
        <x:v>17750</x:v>
      </x:c>
      <x:c r="K17" s="29" t="n">
        <x:f>SUM(K10:K16)</x:f>
        <x:v>17750</x:v>
      </x:c>
      <x:c r="L17" s="29" t="n">
        <x:f>SUM(L10:L16)</x:f>
        <x:v>17750</x:v>
      </x:c>
      <x:c r="M17" s="29" t="n">
        <x:f>SUM(M10:M16)</x:f>
        <x:v>17750</x:v>
      </x:c>
      <x:c r="N17" s="29" t="n">
        <x:f>SUM(N10:N16)</x:f>
        <x:v>17750</x:v>
      </x:c>
      <x:c r="O17" s="29" t="n">
        <x:f>SUM(C17:N17)</x:f>
        <x:v>213000</x:v>
      </x:c>
      <x:c r="P17" s="29" t="n">
        <x:f>AVERAGE(C17:N17)</x:f>
        <x:v>17750</x:v>
      </x:c>
    </x:row>
    <x:row r="18" ht="17.08984375" hidden="0" customHeight="1">
      <x:c r="A18" s="24" t="str"/>
      <x:c r="B18" s="24" t="str"/>
      <x:c r="C18" s="24" t="str"/>
      <x:c r="D18" s="24" t="str"/>
      <x:c r="E18" s="24" t="str"/>
      <x:c r="F18" s="24" t="str"/>
      <x:c r="G18" s="24" t="str"/>
      <x:c r="H18" s="24" t="str"/>
      <x:c r="I18" s="24" t="str"/>
      <x:c r="J18" s="24" t="str"/>
      <x:c r="K18" s="24" t="str"/>
      <x:c r="L18" s="24" t="str"/>
      <x:c r="M18" s="24" t="str"/>
      <x:c r="N18" s="24" t="str"/>
      <x:c r="O18" s="24" t="str"/>
      <x:c r="P18" s="24" t="str"/>
    </x:row>
    <x:row r="19" ht="34.1796875" hidden="0" customHeight="1">
      <x:c r="A19" s="22" t="str">
        <x:v>Rörliga kostnader</x:v>
      </x:c>
      <x:c r="B19" s="22" t="str">
        <x:v>Mat</x:v>
      </x:c>
      <x:c r="C19" s="27" t="n">
        <x:v>4500</x:v>
      </x:c>
      <x:c r="D19" s="27" t="n">
        <x:v>4500</x:v>
      </x:c>
      <x:c r="E19" s="27" t="n">
        <x:v>4500</x:v>
      </x:c>
      <x:c r="F19" s="27" t="n">
        <x:v>4500</x:v>
      </x:c>
      <x:c r="G19" s="27" t="n">
        <x:v>4500</x:v>
      </x:c>
      <x:c r="H19" s="27" t="n">
        <x:v>4500</x:v>
      </x:c>
      <x:c r="I19" s="27" t="n">
        <x:v>4500</x:v>
      </x:c>
      <x:c r="J19" s="27" t="n">
        <x:v>4500</x:v>
      </x:c>
      <x:c r="K19" s="27" t="n">
        <x:v>4500</x:v>
      </x:c>
      <x:c r="L19" s="27" t="n">
        <x:v>4500</x:v>
      </x:c>
      <x:c r="M19" s="27" t="n">
        <x:v>4500</x:v>
      </x:c>
      <x:c r="N19" s="27" t="n">
        <x:v>4500</x:v>
      </x:c>
      <x:c r="O19" s="28" t="n">
        <x:f>SUM(C19:N19)</x:f>
        <x:v>54000</x:v>
      </x:c>
      <x:c r="P19" s="28" t="n">
        <x:f>AVERAGE(C19:N19)</x:f>
        <x:v>4500</x:v>
      </x:c>
    </x:row>
    <x:row r="20" ht="34.1796875" hidden="0" customHeight="1">
      <x:c r="A20" s="22" t="str">
        <x:v>Rörliga kostnader</x:v>
      </x:c>
      <x:c r="B20" s="22" t="str">
        <x:v>Hushåll</x:v>
      </x:c>
      <x:c r="C20" s="27" t="n">
        <x:v>700</x:v>
      </x:c>
      <x:c r="D20" s="27" t="n">
        <x:v>700</x:v>
      </x:c>
      <x:c r="E20" s="27" t="n">
        <x:v>700</x:v>
      </x:c>
      <x:c r="F20" s="27" t="n">
        <x:v>700</x:v>
      </x:c>
      <x:c r="G20" s="27" t="n">
        <x:v>700</x:v>
      </x:c>
      <x:c r="H20" s="27" t="n">
        <x:v>700</x:v>
      </x:c>
      <x:c r="I20" s="27" t="n">
        <x:v>700</x:v>
      </x:c>
      <x:c r="J20" s="27" t="n">
        <x:v>700</x:v>
      </x:c>
      <x:c r="K20" s="27" t="n">
        <x:v>700</x:v>
      </x:c>
      <x:c r="L20" s="27" t="n">
        <x:v>700</x:v>
      </x:c>
      <x:c r="M20" s="27" t="n">
        <x:v>700</x:v>
      </x:c>
      <x:c r="N20" s="27" t="n">
        <x:v>700</x:v>
      </x:c>
      <x:c r="O20" s="28" t="n">
        <x:f>SUM(C20:N20)</x:f>
        <x:v>8400</x:v>
      </x:c>
      <x:c r="P20" s="28" t="n">
        <x:f>AVERAGE(C20:N20)</x:f>
        <x:v>700</x:v>
      </x:c>
    </x:row>
    <x:row r="21" ht="34.1796875" hidden="0" customHeight="1">
      <x:c r="A21" s="22" t="str">
        <x:v>Rörliga kostnader</x:v>
      </x:c>
      <x:c r="B21" s="22" t="str">
        <x:v>Restaurang &amp; fika</x:v>
      </x:c>
      <x:c r="C21" s="27" t="n">
        <x:v>1200</x:v>
      </x:c>
      <x:c r="D21" s="27" t="n">
        <x:v>1200</x:v>
      </x:c>
      <x:c r="E21" s="27" t="n">
        <x:v>1200</x:v>
      </x:c>
      <x:c r="F21" s="27" t="n">
        <x:v>1200</x:v>
      </x:c>
      <x:c r="G21" s="27" t="n">
        <x:v>1200</x:v>
      </x:c>
      <x:c r="H21" s="27" t="n">
        <x:v>1200</x:v>
      </x:c>
      <x:c r="I21" s="27" t="n">
        <x:v>1200</x:v>
      </x:c>
      <x:c r="J21" s="27" t="n">
        <x:v>1200</x:v>
      </x:c>
      <x:c r="K21" s="27" t="n">
        <x:v>1200</x:v>
      </x:c>
      <x:c r="L21" s="27" t="n">
        <x:v>1200</x:v>
      </x:c>
      <x:c r="M21" s="27" t="n">
        <x:v>1200</x:v>
      </x:c>
      <x:c r="N21" s="27" t="n">
        <x:v>1200</x:v>
      </x:c>
      <x:c r="O21" s="28" t="n">
        <x:f>SUM(C21:N21)</x:f>
        <x:v>14400</x:v>
      </x:c>
      <x:c r="P21" s="28" t="n">
        <x:f>AVERAGE(C21:N21)</x:f>
        <x:v>1200</x:v>
      </x:c>
    </x:row>
    <x:row r="22" ht="34.1796875" hidden="0" customHeight="1">
      <x:c r="A22" s="22" t="str">
        <x:v>Rörliga kostnader</x:v>
      </x:c>
      <x:c r="B22" s="22" t="str">
        <x:v>Kläder</x:v>
      </x:c>
      <x:c r="C22" s="27" t="n">
        <x:v>600</x:v>
      </x:c>
      <x:c r="D22" s="27" t="n">
        <x:v>600</x:v>
      </x:c>
      <x:c r="E22" s="27" t="n">
        <x:v>600</x:v>
      </x:c>
      <x:c r="F22" s="27" t="n">
        <x:v>600</x:v>
      </x:c>
      <x:c r="G22" s="27" t="n">
        <x:v>600</x:v>
      </x:c>
      <x:c r="H22" s="27" t="n">
        <x:v>600</x:v>
      </x:c>
      <x:c r="I22" s="27" t="n">
        <x:v>600</x:v>
      </x:c>
      <x:c r="J22" s="27" t="n">
        <x:v>600</x:v>
      </x:c>
      <x:c r="K22" s="27" t="n">
        <x:v>600</x:v>
      </x:c>
      <x:c r="L22" s="27" t="n">
        <x:v>600</x:v>
      </x:c>
      <x:c r="M22" s="27" t="n">
        <x:v>600</x:v>
      </x:c>
      <x:c r="N22" s="27" t="n">
        <x:v>600</x:v>
      </x:c>
      <x:c r="O22" s="28" t="n">
        <x:f>SUM(C22:N22)</x:f>
        <x:v>7200</x:v>
      </x:c>
      <x:c r="P22" s="28" t="n">
        <x:f>AVERAGE(C22:N22)</x:f>
        <x:v>600</x:v>
      </x:c>
    </x:row>
    <x:row r="23" ht="34.1796875" hidden="0" customHeight="1">
      <x:c r="A23" s="22" t="str">
        <x:v>Rörliga kostnader</x:v>
      </x:c>
      <x:c r="B23" s="22" t="str">
        <x:v>Hälsa</x:v>
      </x:c>
      <x:c r="C23" s="27" t="n">
        <x:v>400</x:v>
      </x:c>
      <x:c r="D23" s="27" t="n">
        <x:v>400</x:v>
      </x:c>
      <x:c r="E23" s="27" t="n">
        <x:v>400</x:v>
      </x:c>
      <x:c r="F23" s="27" t="n">
        <x:v>400</x:v>
      </x:c>
      <x:c r="G23" s="27" t="n">
        <x:v>400</x:v>
      </x:c>
      <x:c r="H23" s="27" t="n">
        <x:v>400</x:v>
      </x:c>
      <x:c r="I23" s="27" t="n">
        <x:v>400</x:v>
      </x:c>
      <x:c r="J23" s="27" t="n">
        <x:v>400</x:v>
      </x:c>
      <x:c r="K23" s="27" t="n">
        <x:v>400</x:v>
      </x:c>
      <x:c r="L23" s="27" t="n">
        <x:v>400</x:v>
      </x:c>
      <x:c r="M23" s="27" t="n">
        <x:v>400</x:v>
      </x:c>
      <x:c r="N23" s="27" t="n">
        <x:v>400</x:v>
      </x:c>
      <x:c r="O23" s="28" t="n">
        <x:f>SUM(C23:N23)</x:f>
        <x:v>4800</x:v>
      </x:c>
      <x:c r="P23" s="28" t="n">
        <x:f>AVERAGE(C23:N23)</x:f>
        <x:v>400</x:v>
      </x:c>
    </x:row>
    <x:row r="24" ht="34.1796875" hidden="0" customHeight="1">
      <x:c r="A24" s="22" t="str">
        <x:v>Rörliga kostnader</x:v>
      </x:c>
      <x:c r="B24" s="22" t="str">
        <x:v>Nöje &amp; fritid</x:v>
      </x:c>
      <x:c r="C24" s="27" t="n">
        <x:v>1200</x:v>
      </x:c>
      <x:c r="D24" s="27" t="n">
        <x:v>1200</x:v>
      </x:c>
      <x:c r="E24" s="27" t="n">
        <x:v>1200</x:v>
      </x:c>
      <x:c r="F24" s="27" t="n">
        <x:v>1200</x:v>
      </x:c>
      <x:c r="G24" s="27" t="n">
        <x:v>1200</x:v>
      </x:c>
      <x:c r="H24" s="27" t="n">
        <x:v>1200</x:v>
      </x:c>
      <x:c r="I24" s="27" t="n">
        <x:v>1200</x:v>
      </x:c>
      <x:c r="J24" s="27" t="n">
        <x:v>1200</x:v>
      </x:c>
      <x:c r="K24" s="27" t="n">
        <x:v>1200</x:v>
      </x:c>
      <x:c r="L24" s="27" t="n">
        <x:v>1200</x:v>
      </x:c>
      <x:c r="M24" s="27" t="n">
        <x:v>1200</x:v>
      </x:c>
      <x:c r="N24" s="27" t="n">
        <x:v>1200</x:v>
      </x:c>
      <x:c r="O24" s="28" t="n">
        <x:f>SUM(C24:N24)</x:f>
        <x:v>14400</x:v>
      </x:c>
      <x:c r="P24" s="28" t="n">
        <x:f>AVERAGE(C24:N24)</x:f>
        <x:v>1200</x:v>
      </x:c>
    </x:row>
    <x:row r="25" ht="34.1796875" hidden="0" customHeight="1">
      <x:c r="A25" s="22" t="str">
        <x:v>Rörliga kostnader</x:v>
      </x:c>
      <x:c r="B25" s="22" t="str">
        <x:v>Övrigt</x:v>
      </x:c>
      <x:c r="C25" s="27" t="n">
        <x:v>800</x:v>
      </x:c>
      <x:c r="D25" s="27" t="n">
        <x:v>800</x:v>
      </x:c>
      <x:c r="E25" s="27" t="n">
        <x:v>800</x:v>
      </x:c>
      <x:c r="F25" s="27" t="n">
        <x:v>800</x:v>
      </x:c>
      <x:c r="G25" s="27" t="n">
        <x:v>800</x:v>
      </x:c>
      <x:c r="H25" s="27" t="n">
        <x:v>800</x:v>
      </x:c>
      <x:c r="I25" s="27" t="n">
        <x:v>800</x:v>
      </x:c>
      <x:c r="J25" s="27" t="n">
        <x:v>800</x:v>
      </x:c>
      <x:c r="K25" s="27" t="n">
        <x:v>800</x:v>
      </x:c>
      <x:c r="L25" s="27" t="n">
        <x:v>800</x:v>
      </x:c>
      <x:c r="M25" s="27" t="n">
        <x:v>800</x:v>
      </x:c>
      <x:c r="N25" s="27" t="n">
        <x:v>800</x:v>
      </x:c>
      <x:c r="O25" s="28" t="n">
        <x:f>SUM(C25:N25)</x:f>
        <x:v>9600</x:v>
      </x:c>
      <x:c r="P25" s="28" t="n">
        <x:f>AVERAGE(C25:N25)</x:f>
        <x:v>800</x:v>
      </x:c>
    </x:row>
    <x:row r="26" ht="34.1796875" hidden="0" customHeight="1">
      <x:c r="A26" s="25" t="str">
        <x:v>Rörliga kostnader</x:v>
      </x:c>
      <x:c r="B26" s="25" t="str">
        <x:v>Totala rörliga kostnader</x:v>
      </x:c>
      <x:c r="C26" s="29" t="n">
        <x:f>SUM(C19:C25)</x:f>
        <x:v>9400</x:v>
      </x:c>
      <x:c r="D26" s="29" t="n">
        <x:f>SUM(D19:D25)</x:f>
        <x:v>9400</x:v>
      </x:c>
      <x:c r="E26" s="29" t="n">
        <x:f>SUM(E19:E25)</x:f>
        <x:v>9400</x:v>
      </x:c>
      <x:c r="F26" s="29" t="n">
        <x:f>SUM(F19:F25)</x:f>
        <x:v>9400</x:v>
      </x:c>
      <x:c r="G26" s="29" t="n">
        <x:f>SUM(G19:G25)</x:f>
        <x:v>9400</x:v>
      </x:c>
      <x:c r="H26" s="29" t="n">
        <x:f>SUM(H19:H25)</x:f>
        <x:v>9400</x:v>
      </x:c>
      <x:c r="I26" s="29" t="n">
        <x:f>SUM(I19:I25)</x:f>
        <x:v>9400</x:v>
      </x:c>
      <x:c r="J26" s="29" t="n">
        <x:f>SUM(J19:J25)</x:f>
        <x:v>9400</x:v>
      </x:c>
      <x:c r="K26" s="29" t="n">
        <x:f>SUM(K19:K25)</x:f>
        <x:v>9400</x:v>
      </x:c>
      <x:c r="L26" s="29" t="n">
        <x:f>SUM(L19:L25)</x:f>
        <x:v>9400</x:v>
      </x:c>
      <x:c r="M26" s="29" t="n">
        <x:f>SUM(M19:M25)</x:f>
        <x:v>9400</x:v>
      </x:c>
      <x:c r="N26" s="29" t="n">
        <x:f>SUM(N19:N25)</x:f>
        <x:v>9400</x:v>
      </x:c>
      <x:c r="O26" s="29" t="n">
        <x:f>SUM(C26:N26)</x:f>
        <x:v>112800</x:v>
      </x:c>
      <x:c r="P26" s="29" t="n">
        <x:f>AVERAGE(C26:N26)</x:f>
        <x:v>9400</x:v>
      </x:c>
    </x:row>
    <x:row r="27" ht="17.08984375" hidden="0" customHeight="1">
      <x:c r="A27" s="24" t="str"/>
      <x:c r="B27" s="24" t="str"/>
      <x:c r="C27" s="24" t="str"/>
      <x:c r="D27" s="24" t="str"/>
      <x:c r="E27" s="24" t="str"/>
      <x:c r="F27" s="24" t="str"/>
      <x:c r="G27" s="24" t="str"/>
      <x:c r="H27" s="24" t="str"/>
      <x:c r="I27" s="24" t="str"/>
      <x:c r="J27" s="24" t="str"/>
      <x:c r="K27" s="24" t="str"/>
      <x:c r="L27" s="24" t="str"/>
      <x:c r="M27" s="24" t="str"/>
      <x:c r="N27" s="24" t="str"/>
      <x:c r="O27" s="24" t="str"/>
      <x:c r="P27" s="24" t="str"/>
    </x:row>
    <x:row r="28" ht="17.08984375" hidden="0" customHeight="1">
      <x:c r="A28" s="22" t="str">
        <x:v>Sparande</x:v>
      </x:c>
      <x:c r="B28" s="22" t="str">
        <x:v>Buffert</x:v>
      </x:c>
      <x:c r="C28" s="27" t="n">
        <x:v>2000</x:v>
      </x:c>
      <x:c r="D28" s="27" t="n">
        <x:v>2000</x:v>
      </x:c>
      <x:c r="E28" s="27" t="n">
        <x:v>2000</x:v>
      </x:c>
      <x:c r="F28" s="27" t="n">
        <x:v>2000</x:v>
      </x:c>
      <x:c r="G28" s="27" t="n">
        <x:v>2000</x:v>
      </x:c>
      <x:c r="H28" s="27" t="n">
        <x:v>2000</x:v>
      </x:c>
      <x:c r="I28" s="27" t="n">
        <x:v>2000</x:v>
      </x:c>
      <x:c r="J28" s="27" t="n">
        <x:v>2000</x:v>
      </x:c>
      <x:c r="K28" s="27" t="n">
        <x:v>2000</x:v>
      </x:c>
      <x:c r="L28" s="27" t="n">
        <x:v>2000</x:v>
      </x:c>
      <x:c r="M28" s="27" t="n">
        <x:v>2000</x:v>
      </x:c>
      <x:c r="N28" s="27" t="n">
        <x:v>2000</x:v>
      </x:c>
      <x:c r="O28" s="28" t="n">
        <x:f>SUM(C28:N28)</x:f>
        <x:v>24000</x:v>
      </x:c>
      <x:c r="P28" s="28" t="n">
        <x:f>AVERAGE(C28:N28)</x:f>
        <x:v>2000</x:v>
      </x:c>
    </x:row>
    <x:row r="29" ht="17.08984375" hidden="0" customHeight="1">
      <x:c r="A29" s="22" t="str">
        <x:v>Sparande</x:v>
      </x:c>
      <x:c r="B29" s="22" t="str">
        <x:v>Pension &amp; investering</x:v>
      </x:c>
      <x:c r="C29" s="27" t="n">
        <x:v>1500</x:v>
      </x:c>
      <x:c r="D29" s="27" t="n">
        <x:v>1500</x:v>
      </x:c>
      <x:c r="E29" s="27" t="n">
        <x:v>1500</x:v>
      </x:c>
      <x:c r="F29" s="27" t="n">
        <x:v>1500</x:v>
      </x:c>
      <x:c r="G29" s="27" t="n">
        <x:v>1500</x:v>
      </x:c>
      <x:c r="H29" s="27" t="n">
        <x:v>1500</x:v>
      </x:c>
      <x:c r="I29" s="27" t="n">
        <x:v>1500</x:v>
      </x:c>
      <x:c r="J29" s="27" t="n">
        <x:v>1500</x:v>
      </x:c>
      <x:c r="K29" s="27" t="n">
        <x:v>1500</x:v>
      </x:c>
      <x:c r="L29" s="27" t="n">
        <x:v>1500</x:v>
      </x:c>
      <x:c r="M29" s="27" t="n">
        <x:v>1500</x:v>
      </x:c>
      <x:c r="N29" s="27" t="n">
        <x:v>1500</x:v>
      </x:c>
      <x:c r="O29" s="28" t="n">
        <x:f>SUM(C29:N29)</x:f>
        <x:v>18000</x:v>
      </x:c>
      <x:c r="P29" s="28" t="n">
        <x:f>AVERAGE(C29:N29)</x:f>
        <x:v>1500</x:v>
      </x:c>
    </x:row>
    <x:row r="30" ht="17.08984375" hidden="0" customHeight="1">
      <x:c r="A30" s="22" t="str">
        <x:v>Sparande</x:v>
      </x:c>
      <x:c r="B30" s="22" t="str">
        <x:v>Resor &amp; mål</x:v>
      </x:c>
      <x:c r="C30" s="27" t="n">
        <x:v>1000</x:v>
      </x:c>
      <x:c r="D30" s="27" t="n">
        <x:v>1000</x:v>
      </x:c>
      <x:c r="E30" s="27" t="n">
        <x:v>1000</x:v>
      </x:c>
      <x:c r="F30" s="27" t="n">
        <x:v>1000</x:v>
      </x:c>
      <x:c r="G30" s="27" t="n">
        <x:v>1000</x:v>
      </x:c>
      <x:c r="H30" s="27" t="n">
        <x:v>1000</x:v>
      </x:c>
      <x:c r="I30" s="27" t="n">
        <x:v>1000</x:v>
      </x:c>
      <x:c r="J30" s="27" t="n">
        <x:v>1000</x:v>
      </x:c>
      <x:c r="K30" s="27" t="n">
        <x:v>1000</x:v>
      </x:c>
      <x:c r="L30" s="27" t="n">
        <x:v>1000</x:v>
      </x:c>
      <x:c r="M30" s="27" t="n">
        <x:v>1000</x:v>
      </x:c>
      <x:c r="N30" s="27" t="n">
        <x:v>1000</x:v>
      </x:c>
      <x:c r="O30" s="28" t="n">
        <x:f>SUM(C30:N30)</x:f>
        <x:v>12000</x:v>
      </x:c>
      <x:c r="P30" s="28" t="n">
        <x:f>AVERAGE(C30:N30)</x:f>
        <x:v>1000</x:v>
      </x:c>
    </x:row>
    <x:row r="31" ht="17.08984375" hidden="0" customHeight="1">
      <x:c r="A31" s="25" t="str">
        <x:v>Sparande</x:v>
      </x:c>
      <x:c r="B31" s="25" t="str">
        <x:v>Totalt sparande</x:v>
      </x:c>
      <x:c r="C31" s="29" t="n">
        <x:f>SUM(C28:C30)</x:f>
        <x:v>4500</x:v>
      </x:c>
      <x:c r="D31" s="29" t="n">
        <x:f>SUM(D28:D30)</x:f>
        <x:v>4500</x:v>
      </x:c>
      <x:c r="E31" s="29" t="n">
        <x:f>SUM(E28:E30)</x:f>
        <x:v>4500</x:v>
      </x:c>
      <x:c r="F31" s="29" t="n">
        <x:f>SUM(F28:F30)</x:f>
        <x:v>4500</x:v>
      </x:c>
      <x:c r="G31" s="29" t="n">
        <x:f>SUM(G28:G30)</x:f>
        <x:v>4500</x:v>
      </x:c>
      <x:c r="H31" s="29" t="n">
        <x:f>SUM(H28:H30)</x:f>
        <x:v>4500</x:v>
      </x:c>
      <x:c r="I31" s="29" t="n">
        <x:f>SUM(I28:I30)</x:f>
        <x:v>4500</x:v>
      </x:c>
      <x:c r="J31" s="29" t="n">
        <x:f>SUM(J28:J30)</x:f>
        <x:v>4500</x:v>
      </x:c>
      <x:c r="K31" s="29" t="n">
        <x:f>SUM(K28:K30)</x:f>
        <x:v>4500</x:v>
      </x:c>
      <x:c r="L31" s="29" t="n">
        <x:f>SUM(L28:L30)</x:f>
        <x:v>4500</x:v>
      </x:c>
      <x:c r="M31" s="29" t="n">
        <x:f>SUM(M28:M30)</x:f>
        <x:v>4500</x:v>
      </x:c>
      <x:c r="N31" s="29" t="n">
        <x:f>SUM(N28:N30)</x:f>
        <x:v>4500</x:v>
      </x:c>
      <x:c r="O31" s="29" t="n">
        <x:f>SUM(C31:N31)</x:f>
        <x:v>54000</x:v>
      </x:c>
      <x:c r="P31" s="29" t="n">
        <x:f>AVERAGE(C31:N31)</x:f>
        <x:v>4500</x:v>
      </x:c>
    </x:row>
    <x:row r="32" ht="17.08984375" hidden="0" customHeight="1">
      <x:c r="A32" s="24" t="str"/>
      <x:c r="B32" s="24" t="str"/>
      <x:c r="C32" s="24" t="str"/>
      <x:c r="D32" s="24" t="str"/>
      <x:c r="E32" s="24" t="str"/>
      <x:c r="F32" s="24" t="str"/>
      <x:c r="G32" s="24" t="str"/>
      <x:c r="H32" s="24" t="str"/>
      <x:c r="I32" s="24" t="str"/>
      <x:c r="J32" s="24" t="str"/>
      <x:c r="K32" s="24" t="str"/>
      <x:c r="L32" s="24" t="str"/>
      <x:c r="M32" s="24" t="str"/>
      <x:c r="N32" s="24" t="str"/>
      <x:c r="O32" s="24" t="str"/>
      <x:c r="P32" s="24" t="str"/>
    </x:row>
    <x:row r="33" ht="17.08984375" hidden="0" customHeight="1">
      <x:c r="A33" s="26" t="str">
        <x:v>Resultat</x:v>
      </x:c>
      <x:c r="B33" s="26" t="str">
        <x:v>Totala utgifter</x:v>
      </x:c>
      <x:c r="C33" s="30" t="n">
        <x:f>C17+C26+C31</x:f>
        <x:v>31650</x:v>
      </x:c>
      <x:c r="D33" s="30" t="n">
        <x:f>D17+D26+D31</x:f>
        <x:v>31650</x:v>
      </x:c>
      <x:c r="E33" s="30" t="n">
        <x:f>E17+E26+E31</x:f>
        <x:v>31650</x:v>
      </x:c>
      <x:c r="F33" s="30" t="n">
        <x:f>F17+F26+F31</x:f>
        <x:v>31650</x:v>
      </x:c>
      <x:c r="G33" s="30" t="n">
        <x:f>G17+G26+G31</x:f>
        <x:v>31650</x:v>
      </x:c>
      <x:c r="H33" s="30" t="n">
        <x:f>H17+H26+H31</x:f>
        <x:v>31650</x:v>
      </x:c>
      <x:c r="I33" s="30" t="n">
        <x:f>I17+I26+I31</x:f>
        <x:v>31650</x:v>
      </x:c>
      <x:c r="J33" s="30" t="n">
        <x:f>J17+J26+J31</x:f>
        <x:v>31650</x:v>
      </x:c>
      <x:c r="K33" s="30" t="n">
        <x:f>K17+K26+K31</x:f>
        <x:v>31650</x:v>
      </x:c>
      <x:c r="L33" s="30" t="n">
        <x:f>L17+L26+L31</x:f>
        <x:v>31650</x:v>
      </x:c>
      <x:c r="M33" s="30" t="n">
        <x:f>M17+M26+M31</x:f>
        <x:v>31650</x:v>
      </x:c>
      <x:c r="N33" s="30" t="n">
        <x:f>N17+N26+N31</x:f>
        <x:v>31650</x:v>
      </x:c>
      <x:c r="O33" s="30" t="n">
        <x:f>SUM(C33:N33)</x:f>
        <x:v>379800</x:v>
      </x:c>
      <x:c r="P33" s="30" t="n">
        <x:f>AVERAGE(C33:N33)</x:f>
        <x:v>31650</x:v>
      </x:c>
    </x:row>
    <x:row r="34" ht="17.08984375" hidden="0" customHeight="1">
      <x:c r="A34" s="26" t="str">
        <x:v>Resultat</x:v>
      </x:c>
      <x:c r="B34" s="26" t="str">
        <x:v>Kvar efter budget</x:v>
      </x:c>
      <x:c r="C34" s="30" t="n">
        <x:f>C8-C33</x:f>
        <x:v>2350</x:v>
      </x:c>
      <x:c r="D34" s="30" t="n">
        <x:f>D8-D33</x:f>
        <x:v>2350</x:v>
      </x:c>
      <x:c r="E34" s="30" t="n">
        <x:f>E8-E33</x:f>
        <x:v>2350</x:v>
      </x:c>
      <x:c r="F34" s="30" t="n">
        <x:f>F8-F33</x:f>
        <x:v>2350</x:v>
      </x:c>
      <x:c r="G34" s="30" t="n">
        <x:f>G8-G33</x:f>
        <x:v>2350</x:v>
      </x:c>
      <x:c r="H34" s="30" t="n">
        <x:f>H8-H33</x:f>
        <x:v>2350</x:v>
      </x:c>
      <x:c r="I34" s="30" t="n">
        <x:f>I8-I33</x:f>
        <x:v>2350</x:v>
      </x:c>
      <x:c r="J34" s="30" t="n">
        <x:f>J8-J33</x:f>
        <x:v>2350</x:v>
      </x:c>
      <x:c r="K34" s="30" t="n">
        <x:f>K8-K33</x:f>
        <x:v>2350</x:v>
      </x:c>
      <x:c r="L34" s="30" t="n">
        <x:f>L8-L33</x:f>
        <x:v>2350</x:v>
      </x:c>
      <x:c r="M34" s="30" t="n">
        <x:f>M8-M33</x:f>
        <x:v>2350</x:v>
      </x:c>
      <x:c r="N34" s="30" t="n">
        <x:f>N8-N33</x:f>
        <x:v>2350</x:v>
      </x:c>
      <x:c r="O34" s="30" t="n">
        <x:f>SUM(C34:N34)</x:f>
        <x:v>28200</x:v>
      </x:c>
      <x:c r="P34" s="30" t="n">
        <x:f>AVERAGE(C34:N34)</x:f>
        <x:v>2350</x:v>
      </x:c>
    </x:row>
    <x:row r="35" ht="34.1796875" hidden="0" customHeight="1">
      <x:c r="A35" s="26" t="str">
        <x:v>Resultat</x:v>
      </x:c>
      <x:c r="B35" s="26" t="str">
        <x:v>Sparkvot</x:v>
      </x:c>
      <x:c r="C35" s="31" t="n">
        <x:f>IFERROR(C31/C8,0)</x:f>
        <x:v>0.1323529411764706</x:v>
      </x:c>
      <x:c r="D35" s="31" t="n">
        <x:f>IFERROR(D31/D8,0)</x:f>
        <x:v>0.1323529411764706</x:v>
      </x:c>
      <x:c r="E35" s="31" t="n">
        <x:f>IFERROR(E31/E8,0)</x:f>
        <x:v>0.1323529411764706</x:v>
      </x:c>
      <x:c r="F35" s="31" t="n">
        <x:f>IFERROR(F31/F8,0)</x:f>
        <x:v>0.1323529411764706</x:v>
      </x:c>
      <x:c r="G35" s="31" t="n">
        <x:f>IFERROR(G31/G8,0)</x:f>
        <x:v>0.1323529411764706</x:v>
      </x:c>
      <x:c r="H35" s="31" t="n">
        <x:f>IFERROR(H31/H8,0)</x:f>
        <x:v>0.1323529411764706</x:v>
      </x:c>
      <x:c r="I35" s="31" t="n">
        <x:f>IFERROR(I31/I8,0)</x:f>
        <x:v>0.1323529411764706</x:v>
      </x:c>
      <x:c r="J35" s="31" t="n">
        <x:f>IFERROR(J31/J8,0)</x:f>
        <x:v>0.1323529411764706</x:v>
      </x:c>
      <x:c r="K35" s="31" t="n">
        <x:f>IFERROR(K31/K8,0)</x:f>
        <x:v>0.1323529411764706</x:v>
      </x:c>
      <x:c r="L35" s="31" t="n">
        <x:f>IFERROR(L31/L8,0)</x:f>
        <x:v>0.1323529411764706</x:v>
      </x:c>
      <x:c r="M35" s="31" t="n">
        <x:f>IFERROR(M31/M8,0)</x:f>
        <x:v>0.1323529411764706</x:v>
      </x:c>
      <x:c r="N35" s="31" t="n">
        <x:f>IFERROR(N31/N8,0)</x:f>
        <x:v>0.1323529411764706</x:v>
      </x:c>
      <x:c r="O35" s="31" t="n">
        <x:f>IFERROR(O31/O8,0)</x:f>
        <x:v>0.1323529411764706</x:v>
      </x:c>
      <x:c r="P35" s="31" t="n">
        <x:f>AVERAGE(C35:N35)</x:f>
        <x:v>0.1323529411764706</x:v>
      </x:c>
    </x:row>
  </x:sheetData>
  <x:mergeCells>
    <x:mergeCell ref="A1:P1"/>
    <x:mergeCell ref="A2:P2"/>
    <x:mergeCell ref="R2:U2"/>
  </x:mergeCells>
  <x:conditionalFormatting sqref="C34:P34">
    <x:cfRule type="expression" dxfId="0" priority="1">
      <x:formula>C34&lt;0</x:formula>
    </x:cfRule>
    <x:cfRule type="expression" dxfId="1" priority="2">
      <x:formula>C34&gt;=0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6aa993205b442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4" t="str">
        <x:v>Sammanfattning – årsbudget 2026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Nyckeltal</x:v>
      </x:c>
      <x:c r="B3" s="11" t="str">
        <x:v>Värde</x:v>
      </x:c>
    </x:row>
    <x:row r="4">
      <x:c r="A4" s="36" t="str">
        <x:v>Totala inkomster</x:v>
      </x:c>
      <x:c r="B4" s="34" t="n">
        <x:f>'Budget 2026'!O8</x:f>
        <x:v>408000</x:v>
      </x:c>
    </x:row>
    <x:row r="5">
      <x:c r="A5" s="36" t="str">
        <x:v>Totala utgifter</x:v>
      </x:c>
      <x:c r="B5" s="34" t="n">
        <x:f>'Budget 2026'!O33</x:f>
        <x:v>379800</x:v>
      </x:c>
    </x:row>
    <x:row r="6">
      <x:c r="A6" s="36" t="str">
        <x:v>Totalt sparande</x:v>
      </x:c>
      <x:c r="B6" s="34" t="n">
        <x:f>'Budget 2026'!O31</x:f>
        <x:v>54000</x:v>
      </x:c>
    </x:row>
    <x:row r="7">
      <x:c r="A7" s="36" t="str">
        <x:v>Årets överskott</x:v>
      </x:c>
      <x:c r="B7" s="34" t="n">
        <x:f>'Budget 2026'!O34</x:f>
        <x:v>28200</x:v>
      </x:c>
    </x:row>
    <x:row r="8">
      <x:c r="A8" s="36" t="str">
        <x:v>Genomsnitt per månad</x:v>
      </x:c>
      <x:c r="B8" s="34" t="n">
        <x:f>'Budget 2026'!P34</x:f>
        <x:v>2350</x:v>
      </x:c>
    </x:row>
    <x:row r="9">
      <x:c r="A9" s="36" t="str">
        <x:v>Sparkvot</x:v>
      </x:c>
      <x:c r="B9" s="35" t="n">
        <x:f>'Budget 2026'!O35</x:f>
        <x:v>0.1323529411764706</x:v>
      </x:c>
    </x:row>
    <x:row r="12" ht="17.08984375" hidden="0" customHeight="1">
      <x:c r="A12" s="11" t="str">
        <x:v>Månad</x:v>
      </x:c>
      <x:c r="B12" s="11" t="str">
        <x:v>Inkomster</x:v>
      </x:c>
      <x:c r="C12" s="11" t="str">
        <x:v>Utgifter</x:v>
      </x:c>
      <x:c r="D12" s="11" t="str">
        <x:v>Sparande</x:v>
      </x:c>
      <x:c r="E12" s="11" t="str">
        <x:v>Kvar efter budget</x:v>
      </x:c>
    </x:row>
    <x:row r="13" ht="17.08984375" hidden="0" customHeight="1">
      <x:c r="A13" t="str">
        <x:v>Jan</x:v>
      </x:c>
      <x:c r="B13" s="32" t="n">
        <x:f>'Budget 2026'!C8</x:f>
        <x:v>34000</x:v>
      </x:c>
      <x:c r="C13" s="32" t="n">
        <x:f>'Budget 2026'!C33</x:f>
        <x:v>31650</x:v>
      </x:c>
      <x:c r="D13" s="32" t="n">
        <x:f>'Budget 2026'!C31</x:f>
        <x:v>4500</x:v>
      </x:c>
      <x:c r="E13" s="32" t="n">
        <x:f>'Budget 2026'!C34</x:f>
        <x:v>2350</x:v>
      </x:c>
    </x:row>
    <x:row r="14" ht="17.08984375" hidden="0" customHeight="1">
      <x:c r="A14" t="str">
        <x:v>Feb</x:v>
      </x:c>
      <x:c r="B14" s="32" t="n">
        <x:f>'Budget 2026'!D8</x:f>
        <x:v>34000</x:v>
      </x:c>
      <x:c r="C14" s="32" t="n">
        <x:f>'Budget 2026'!D33</x:f>
        <x:v>31650</x:v>
      </x:c>
      <x:c r="D14" s="32" t="n">
        <x:f>'Budget 2026'!D31</x:f>
        <x:v>4500</x:v>
      </x:c>
      <x:c r="E14" s="32" t="n">
        <x:f>'Budget 2026'!D34</x:f>
        <x:v>2350</x:v>
      </x:c>
    </x:row>
    <x:row r="15" ht="17.08984375" hidden="0" customHeight="1">
      <x:c r="A15" t="str">
        <x:v>Mar</x:v>
      </x:c>
      <x:c r="B15" s="32" t="n">
        <x:f>'Budget 2026'!E8</x:f>
        <x:v>34000</x:v>
      </x:c>
      <x:c r="C15" s="32" t="n">
        <x:f>'Budget 2026'!E33</x:f>
        <x:v>31650</x:v>
      </x:c>
      <x:c r="D15" s="32" t="n">
        <x:f>'Budget 2026'!E31</x:f>
        <x:v>4500</x:v>
      </x:c>
      <x:c r="E15" s="32" t="n">
        <x:f>'Budget 2026'!E34</x:f>
        <x:v>2350</x:v>
      </x:c>
    </x:row>
    <x:row r="16" ht="17.08984375" hidden="0" customHeight="1">
      <x:c r="A16" t="str">
        <x:v>Apr</x:v>
      </x:c>
      <x:c r="B16" s="32" t="n">
        <x:f>'Budget 2026'!F8</x:f>
        <x:v>34000</x:v>
      </x:c>
      <x:c r="C16" s="32" t="n">
        <x:f>'Budget 2026'!F33</x:f>
        <x:v>31650</x:v>
      </x:c>
      <x:c r="D16" s="32" t="n">
        <x:f>'Budget 2026'!F31</x:f>
        <x:v>4500</x:v>
      </x:c>
      <x:c r="E16" s="32" t="n">
        <x:f>'Budget 2026'!F34</x:f>
        <x:v>2350</x:v>
      </x:c>
    </x:row>
    <x:row r="17" ht="17.08984375" hidden="0" customHeight="1">
      <x:c r="A17" t="str">
        <x:v>Maj</x:v>
      </x:c>
      <x:c r="B17" s="32" t="n">
        <x:f>'Budget 2026'!G8</x:f>
        <x:v>34000</x:v>
      </x:c>
      <x:c r="C17" s="32" t="n">
        <x:f>'Budget 2026'!G33</x:f>
        <x:v>31650</x:v>
      </x:c>
      <x:c r="D17" s="32" t="n">
        <x:f>'Budget 2026'!G31</x:f>
        <x:v>4500</x:v>
      </x:c>
      <x:c r="E17" s="32" t="n">
        <x:f>'Budget 2026'!G34</x:f>
        <x:v>2350</x:v>
      </x:c>
    </x:row>
    <x:row r="18" ht="17.08984375" hidden="0" customHeight="1">
      <x:c r="A18" t="str">
        <x:v>Jun</x:v>
      </x:c>
      <x:c r="B18" s="32" t="n">
        <x:f>'Budget 2026'!H8</x:f>
        <x:v>34000</x:v>
      </x:c>
      <x:c r="C18" s="32" t="n">
        <x:f>'Budget 2026'!H33</x:f>
        <x:v>31650</x:v>
      </x:c>
      <x:c r="D18" s="32" t="n">
        <x:f>'Budget 2026'!H31</x:f>
        <x:v>4500</x:v>
      </x:c>
      <x:c r="E18" s="32" t="n">
        <x:f>'Budget 2026'!H34</x:f>
        <x:v>2350</x:v>
      </x:c>
    </x:row>
    <x:row r="19" ht="17.08984375" hidden="0" customHeight="1">
      <x:c r="A19" t="str">
        <x:v>Jul</x:v>
      </x:c>
      <x:c r="B19" s="32" t="n">
        <x:f>'Budget 2026'!I8</x:f>
        <x:v>34000</x:v>
      </x:c>
      <x:c r="C19" s="32" t="n">
        <x:f>'Budget 2026'!I33</x:f>
        <x:v>31650</x:v>
      </x:c>
      <x:c r="D19" s="32" t="n">
        <x:f>'Budget 2026'!I31</x:f>
        <x:v>4500</x:v>
      </x:c>
      <x:c r="E19" s="32" t="n">
        <x:f>'Budget 2026'!I34</x:f>
        <x:v>2350</x:v>
      </x:c>
    </x:row>
    <x:row r="20" ht="17.08984375" hidden="0" customHeight="1">
      <x:c r="A20" t="str">
        <x:v>Aug</x:v>
      </x:c>
      <x:c r="B20" s="32" t="n">
        <x:f>'Budget 2026'!J8</x:f>
        <x:v>34000</x:v>
      </x:c>
      <x:c r="C20" s="32" t="n">
        <x:f>'Budget 2026'!J33</x:f>
        <x:v>31650</x:v>
      </x:c>
      <x:c r="D20" s="32" t="n">
        <x:f>'Budget 2026'!J31</x:f>
        <x:v>4500</x:v>
      </x:c>
      <x:c r="E20" s="32" t="n">
        <x:f>'Budget 2026'!J34</x:f>
        <x:v>2350</x:v>
      </x:c>
    </x:row>
    <x:row r="21" ht="17.08984375" hidden="0" customHeight="1">
      <x:c r="A21" t="str">
        <x:v>Sep</x:v>
      </x:c>
      <x:c r="B21" s="32" t="n">
        <x:f>'Budget 2026'!K8</x:f>
        <x:v>34000</x:v>
      </x:c>
      <x:c r="C21" s="32" t="n">
        <x:f>'Budget 2026'!K33</x:f>
        <x:v>31650</x:v>
      </x:c>
      <x:c r="D21" s="32" t="n">
        <x:f>'Budget 2026'!K31</x:f>
        <x:v>4500</x:v>
      </x:c>
      <x:c r="E21" s="32" t="n">
        <x:f>'Budget 2026'!K34</x:f>
        <x:v>2350</x:v>
      </x:c>
    </x:row>
    <x:row r="22" ht="17.08984375" hidden="0" customHeight="1">
      <x:c r="A22" t="str">
        <x:v>Okt</x:v>
      </x:c>
      <x:c r="B22" s="32" t="n">
        <x:f>'Budget 2026'!L8</x:f>
        <x:v>34000</x:v>
      </x:c>
      <x:c r="C22" s="32" t="n">
        <x:f>'Budget 2026'!L33</x:f>
        <x:v>31650</x:v>
      </x:c>
      <x:c r="D22" s="32" t="n">
        <x:f>'Budget 2026'!L31</x:f>
        <x:v>4500</x:v>
      </x:c>
      <x:c r="E22" s="32" t="n">
        <x:f>'Budget 2026'!L34</x:f>
        <x:v>2350</x:v>
      </x:c>
    </x:row>
    <x:row r="23" ht="17.08984375" hidden="0" customHeight="1">
      <x:c r="A23" t="str">
        <x:v>Nov</x:v>
      </x:c>
      <x:c r="B23" s="32" t="n">
        <x:f>'Budget 2026'!M8</x:f>
        <x:v>34000</x:v>
      </x:c>
      <x:c r="C23" s="32" t="n">
        <x:f>'Budget 2026'!M33</x:f>
        <x:v>31650</x:v>
      </x:c>
      <x:c r="D23" s="32" t="n">
        <x:f>'Budget 2026'!M31</x:f>
        <x:v>4500</x:v>
      </x:c>
      <x:c r="E23" s="32" t="n">
        <x:f>'Budget 2026'!M34</x:f>
        <x:v>2350</x:v>
      </x:c>
    </x:row>
    <x:row r="24" ht="17.08984375" hidden="0" customHeight="1">
      <x:c r="A24" t="str">
        <x:v>Dec</x:v>
      </x:c>
      <x:c r="B24" s="32" t="n">
        <x:f>'Budget 2026'!N8</x:f>
        <x:v>34000</x:v>
      </x:c>
      <x:c r="C24" s="32" t="n">
        <x:f>'Budget 2026'!N33</x:f>
        <x:v>31650</x:v>
      </x:c>
      <x:c r="D24" s="32" t="n">
        <x:f>'Budget 2026'!N31</x:f>
        <x:v>4500</x:v>
      </x:c>
      <x:c r="E24" s="32" t="n">
        <x:f>'Budget 2026'!N34</x:f>
        <x:v>2350</x:v>
      </x:c>
    </x:row>
  </x:sheetData>
  <x:mergeCells>
    <x:mergeCell ref="A1:H1"/>
  </x:mergeCells>
  <x:conditionalFormatting sqref="E13:E24">
    <x:cfRule type="expression" dxfId="2" priority="1">
      <x:formula>E13&lt;0</x:formula>
    </x:cfRule>
    <x:cfRule type="expression" dxfId="3" priority="2">
      <x:formula>E13&gt;=0</x:formula>
    </x:cfRule>
  </x:conditionalFormatting>
  <x:pageMargins left="0.7" right="0.7" top="0.75" bottom="0.75" header="0.3" footer="0.3"/>
  <x:drawing xmlns:r="http://schemas.openxmlformats.org/officeDocument/2006/relationships" r:id="Rfaa6baa09a624963"/>
  <x:tableParts count="1">
    <x:tablePart xmlns:r="http://schemas.openxmlformats.org/officeDocument/2006/relationships" r:id="R4e7b3ffa96ea482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</x:cols>
  <x:sheetData>
    <x:row r="1">
      <x:c r="A1" s="4" t="str">
        <x:v>Instruktioner</x:v>
      </x:c>
      <x:c r="B1" s="4"/>
      <x:c r="C1" s="4"/>
      <x:c r="D1" s="4"/>
      <x:c r="E1" s="4"/>
      <x:c r="F1" s="4"/>
    </x:row>
    <x:row r="3">
      <x:c r="A3" s="21" t="str">
        <x:v>Vad finns i filen?</x:v>
      </x:c>
      <x:c r="B3" s="21" t="str">
        <x:v>Beskrivning</x:v>
      </x:c>
    </x:row>
    <x:row r="4">
      <x:c r="A4" s="24" t="str">
        <x:v>Budget 2026</x:v>
      </x:c>
      <x:c r="B4" s="24" t="str">
        <x:v>Här fyller du i eller ändrar budgeterade belopp per månad.</x:v>
      </x:c>
    </x:row>
    <x:row r="5">
      <x:c r="A5" s="24" t="str">
        <x:v>Sammanfattning</x:v>
      </x:c>
      <x:c r="B5" s="24" t="str">
        <x:v>Visar årsöversikt, nyckeltal och diagram.</x:v>
      </x:c>
    </x:row>
    <x:row r="6">
      <x:c r="A6" s="24" t="str">
        <x:v>Gula celler</x:v>
      </x:c>
      <x:c r="B6" s="24" t="str">
        <x:v>Editable budgetceller för januari till december.</x:v>
      </x:c>
    </x:row>
    <x:row r="7">
      <x:c r="A7" s="24" t="str">
        <x:v>Blå/gröna rader</x:v>
      </x:c>
      <x:c r="B7" s="24" t="str">
        <x:v>Automatiskt beräknade totaler och resultat.</x:v>
      </x:c>
    </x:row>
    <x:row r="8">
      <x:c r="A8" s="24" t="str">
        <x:v>Tips</x:v>
      </x:c>
      <x:c r="B8" s="24" t="str">
        <x:v>Byt ut exempelbeloppen mot dina egna för att använda filen direkt.</x:v>
      </x:c>
    </x:row>
    <x:row r="10" ht="22" customHeight="1">
      <x:c r="A10" s="24" t="str">
        <x:v>Förslag på användning:</x:v>
      </x:c>
    </x:row>
    <x:row r="11" ht="22" customHeight="1">
      <x:c r="A11" s="24" t="str">
        <x:v>• Planera hushållsbudget eller privat ekonomi.</x:v>
      </x:c>
    </x:row>
    <x:row r="12" ht="22" customHeight="1">
      <x:c r="A12" s="24" t="str">
        <x:v>• Följ upp om sparandet är rimligt i förhållande till inkomster.</x:v>
      </x:c>
    </x:row>
    <x:row r="13" ht="22" customHeight="1">
      <x:c r="A13" s="24" t="str">
        <x:v>• Lägg till fler rader om du vill ha fler kategorier.</x:v>
      </x:c>
    </x:row>
    <x:row r="14" ht="22" customHeight="1">
      <x:c r="A14" s="24" t="str">
        <x:v>• Byt namn på kategorier så att de passar dig.</x:v>
      </x:c>
    </x:row>
    <x:row r="15" ht="22" customHeight="1">
      <x:c r="A15" s="24" t="str">
        <x:v>• Du kan även lägga in utfall i en kopia av budgeten.</x:v>
      </x:c>
    </x:row>
    <x:row r="16" ht="22" customHeight="1">
      <x:c r="A16" s="24" t="str">
        <x:v>• Filen innehåller exempelvärden och fungerar direkt.</x:v>
      </x:c>
    </x:row>
  </x:sheetData>
  <x:mergeCells>
    <x:mergeCell ref="A1:F1"/>
  </x:mergeCells>
  <x:pageMargins left="0.7" right="0.7" top="0.75" bottom="0.75" header="0.3" footer="0.3"/>
</x:worksheet>
</file>